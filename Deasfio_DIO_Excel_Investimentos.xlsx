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Desafio DIO Investidor\"/>
    </mc:Choice>
  </mc:AlternateContent>
  <xr:revisionPtr revIDLastSave="0" documentId="13_ncr:1_{0BDD2BB3-6B25-411B-AA31-988BD3F545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mulador_FII" sheetId="1" r:id="rId1"/>
    <sheet name="Chaves" sheetId="2" r:id="rId2"/>
  </sheets>
  <definedNames>
    <definedName name="aporte">Simulador_FII!$E$22</definedName>
    <definedName name="patrimonio">Simulador_FII!$E$25</definedName>
    <definedName name="qtd_anos">Simulador_FII!$E$23</definedName>
    <definedName name="rendimento_carteira">Simulador_FII!$E$18</definedName>
    <definedName name="salario">Simulador_FII!$E$17</definedName>
    <definedName name="sugestao_investimento">Simulador_FII!$E$19</definedName>
    <definedName name="taxa_mensal">Simulador_FII!$E$24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2" l="1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C47" i="1"/>
  <c r="C46" i="1"/>
  <c r="C45" i="1"/>
  <c r="C44" i="1"/>
  <c r="C43" i="1"/>
  <c r="C42" i="1"/>
  <c r="C35" i="1"/>
  <c r="D35" i="1" s="1"/>
  <c r="C34" i="1"/>
  <c r="D34" i="1" s="1"/>
  <c r="C33" i="1"/>
  <c r="D33" i="1" s="1"/>
  <c r="C32" i="1"/>
  <c r="D32" i="1" s="1"/>
  <c r="C31" i="1"/>
  <c r="D31" i="1" s="1"/>
  <c r="E25" i="1"/>
  <c r="E26" i="1" s="1"/>
  <c r="E19" i="1"/>
  <c r="E35" i="1" s="1"/>
  <c r="F35" i="1" s="1"/>
  <c r="D47" i="1" l="1"/>
  <c r="E27" i="1"/>
  <c r="C48" i="1"/>
  <c r="E31" i="1"/>
  <c r="F31" i="1" s="1"/>
  <c r="E32" i="1"/>
  <c r="F32" i="1" s="1"/>
  <c r="E33" i="1"/>
  <c r="F33" i="1" s="1"/>
  <c r="E34" i="1"/>
  <c r="F34" i="1" s="1"/>
  <c r="D42" i="1"/>
  <c r="D44" i="1"/>
  <c r="D46" i="1"/>
  <c r="D43" i="1"/>
  <c r="D45" i="1"/>
  <c r="D48" i="1" l="1"/>
</calcChain>
</file>

<file path=xl/sharedStrings.xml><?xml version="1.0" encoding="utf-8"?>
<sst xmlns="http://schemas.openxmlformats.org/spreadsheetml/2006/main" count="78" uniqueCount="44">
  <si>
    <t>SIMULADOR DE INVESTIMENTO EM FIIs</t>
  </si>
  <si>
    <t>Planejamento Financeiro, Acúmulo de Patrimônio e Distribuição por Perfil</t>
  </si>
  <si>
    <t>1. CONFIGURAÇÕES BASE</t>
  </si>
  <si>
    <t>Salário Mensal (R$)</t>
  </si>
  <si>
    <t>Rendimento Estimado da Carteira (% a.m.)</t>
  </si>
  <si>
    <t>Sugestão de Aporte (30% do Salário)</t>
  </si>
  <si>
    <t>2. PERGUNTAS DE NEGÓCIO (SIMULAÇÃO MENSAL)</t>
  </si>
  <si>
    <t>1. Quanto investir por mês?</t>
  </si>
  <si>
    <t>2. Por quantos anos?</t>
  </si>
  <si>
    <t>3. Qual a taxa de rendimento mensal?</t>
  </si>
  <si>
    <t>4. Quanto de patrimônio vai acumular?</t>
  </si>
  <si>
    <t>5. Quanto vai receber de dividendos por mês?</t>
  </si>
  <si>
    <t xml:space="preserve">   *Dividendos (30% Salário - Aporte Sugerido)</t>
  </si>
  <si>
    <t>3. PROJEÇÃO DE CENÁRIOS (2 A 30 ANOS)</t>
  </si>
  <si>
    <t>Prazo (Anos)</t>
  </si>
  <si>
    <t>Patrimônio Acumulado (Aporte Informado)</t>
  </si>
  <si>
    <t>Dividendo Mensal (Aporte Informado)</t>
  </si>
  <si>
    <t>Patrimônio (Aporte 30%)</t>
  </si>
  <si>
    <t>Dividendo (Aporte 30%)</t>
  </si>
  <si>
    <t>2 anos</t>
  </si>
  <si>
    <t>5 anos</t>
  </si>
  <si>
    <t>10 anos</t>
  </si>
  <si>
    <t>20 anos</t>
  </si>
  <si>
    <t>30 anos</t>
  </si>
  <si>
    <t>4. ALOCAÇÃO DO APORTE POR PERFIL DE INVESTIDOR</t>
  </si>
  <si>
    <t>Perfil Selecionado:</t>
  </si>
  <si>
    <t>MODERADO</t>
  </si>
  <si>
    <t>Valor a ser Investido Mensal:</t>
  </si>
  <si>
    <t>Tipo de FII</t>
  </si>
  <si>
    <t>Percentual Sugerido</t>
  </si>
  <si>
    <t>Valor Alocado (R$)</t>
  </si>
  <si>
    <t>PAPEL</t>
  </si>
  <si>
    <t>TIJOLO</t>
  </si>
  <si>
    <t>HIBRIDOS</t>
  </si>
  <si>
    <t>FOFS</t>
  </si>
  <si>
    <t>DESENVOLVIMENTO</t>
  </si>
  <si>
    <t>HOTELARIAS</t>
  </si>
  <si>
    <t>TOTAL</t>
  </si>
  <si>
    <t>CHAVE</t>
  </si>
  <si>
    <t>PERFIL</t>
  </si>
  <si>
    <t>TIPO DE FII</t>
  </si>
  <si>
    <t>PERCENTUAL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</si>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</sst>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R\$\ #,##0.00"/>
    <numFmt numFmtId="166" formatCode="0.000%"/>
  </numFmts>
  <fonts count="7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6"/>
      <color rgb="FFFFFFFF"/>
      <name val="Segoe UI"/>
    </font>
    <font>
      <i/>
      <sz val="10"/>
      <color rgb="FFD9E1F2"/>
      <name val="Segoe UI"/>
    </font>
    <font>
      <b/>
      <sz val="10"/>
      <name val="Segoe UI"/>
    </font>
    <font>
      <i/>
      <sz val="9"/>
      <color rgb="FF595959"/>
      <name val="Segoe UI"/>
    </font>
    <font>
      <b/>
      <sz val="10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0D233A"/>
        <bgColor rgb="FF0D233A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65" fontId="0" fillId="0" borderId="1" xfId="0" applyNumberFormat="1" applyBorder="1"/>
    <xf numFmtId="10" fontId="0" fillId="0" borderId="1" xfId="0" applyNumberFormat="1" applyBorder="1"/>
    <xf numFmtId="165" fontId="0" fillId="4" borderId="1" xfId="0" applyNumberFormat="1" applyFill="1" applyBorder="1"/>
    <xf numFmtId="3" fontId="0" fillId="0" borderId="1" xfId="0" applyNumberFormat="1" applyBorder="1"/>
    <xf numFmtId="166" fontId="0" fillId="0" borderId="1" xfId="0" applyNumberFormat="1" applyBorder="1"/>
    <xf numFmtId="165" fontId="4" fillId="4" borderId="1" xfId="0" applyNumberFormat="1" applyFont="1" applyFill="1" applyBorder="1"/>
    <xf numFmtId="0" fontId="5" fillId="0" borderId="1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1" xfId="0" applyNumberForma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164" fontId="0" fillId="4" borderId="1" xfId="0" applyNumberFormat="1" applyFill="1" applyBorder="1" applyAlignment="1">
      <alignment horizontal="center" vertical="center"/>
    </xf>
    <xf numFmtId="0" fontId="4" fillId="0" borderId="1" xfId="0" applyFont="1" applyBorder="1"/>
    <xf numFmtId="164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/>
    <xf numFmtId="0" fontId="1" fillId="2" borderId="1" xfId="0" applyFont="1" applyFill="1" applyBorder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Divisão do Aporte por Tipo de FII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Simulador_FII!$D$41</c:f>
              <c:strCache>
                <c:ptCount val="1"/>
                <c:pt idx="0">
                  <c:v>Valor Alocado (R$)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Simulador_FII!$B$42:$B$47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Simulador_FII!$D$42:$D$47</c:f>
              <c:numCache>
                <c:formatCode>\R\$\ #,##0.00</c:formatCode>
                <c:ptCount val="6"/>
                <c:pt idx="0">
                  <c:v>400</c:v>
                </c:pt>
                <c:pt idx="1">
                  <c:v>80</c:v>
                </c:pt>
                <c:pt idx="2">
                  <c:v>40</c:v>
                </c:pt>
                <c:pt idx="3">
                  <c:v>40</c:v>
                </c:pt>
                <c:pt idx="4">
                  <c:v>160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A-4FF4-9F00-A57DC7594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628650</xdr:colOff>
      <xdr:row>38</xdr:row>
      <xdr:rowOff>161925</xdr:rowOff>
    </xdr:from>
    <xdr:ext cx="43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0</xdr:col>
      <xdr:colOff>9525</xdr:colOff>
      <xdr:row>0</xdr:row>
      <xdr:rowOff>19049</xdr:rowOff>
    </xdr:from>
    <xdr:to>
      <xdr:col>5</xdr:col>
      <xdr:colOff>0</xdr:colOff>
      <xdr:row>10</xdr:row>
      <xdr:rowOff>95250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19A884B-78C1-4B7A-B30F-D21F92752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9049"/>
          <a:ext cx="7286625" cy="1981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3:F48"/>
  <sheetViews>
    <sheetView showGridLines="0" tabSelected="1" topLeftCell="A37" workbookViewId="0">
      <selection activeCell="C39" sqref="C39"/>
    </sheetView>
  </sheetViews>
  <sheetFormatPr defaultRowHeight="15"/>
  <cols>
    <col min="1" max="1" width="3" customWidth="1"/>
    <col min="2" max="2" width="42.5703125" bestFit="1" customWidth="1"/>
    <col min="3" max="3" width="21.85546875" bestFit="1" customWidth="1"/>
    <col min="4" max="4" width="18.5703125" bestFit="1" customWidth="1"/>
    <col min="5" max="5" width="23.42578125" bestFit="1" customWidth="1"/>
    <col min="6" max="6" width="22.7109375" bestFit="1" customWidth="1"/>
  </cols>
  <sheetData>
    <row r="13" spans="2:6" ht="25.5">
      <c r="B13" s="24" t="s">
        <v>0</v>
      </c>
      <c r="C13" s="24"/>
      <c r="D13" s="24"/>
      <c r="E13" s="24"/>
      <c r="F13" s="21"/>
    </row>
    <row r="14" spans="2:6">
      <c r="B14" s="25" t="s">
        <v>1</v>
      </c>
      <c r="C14" s="25"/>
      <c r="D14" s="25"/>
      <c r="E14" s="25"/>
      <c r="F14" s="21"/>
    </row>
    <row r="16" spans="2:6" ht="24" customHeight="1">
      <c r="B16" s="22" t="s">
        <v>2</v>
      </c>
      <c r="C16" s="23"/>
      <c r="D16" s="23"/>
      <c r="E16" s="23"/>
    </row>
    <row r="17" spans="2:6">
      <c r="B17" s="1" t="s">
        <v>3</v>
      </c>
      <c r="E17" s="2">
        <v>5000</v>
      </c>
    </row>
    <row r="18" spans="2:6">
      <c r="B18" s="1" t="s">
        <v>4</v>
      </c>
      <c r="E18" s="3">
        <v>6.0000000000000001E-3</v>
      </c>
    </row>
    <row r="19" spans="2:6">
      <c r="B19" s="1" t="s">
        <v>5</v>
      </c>
      <c r="E19" s="4">
        <f>salario*0.3</f>
        <v>1500</v>
      </c>
    </row>
    <row r="21" spans="2:6" ht="24" customHeight="1">
      <c r="B21" s="22" t="s">
        <v>6</v>
      </c>
      <c r="C21" s="23"/>
      <c r="D21" s="23"/>
      <c r="E21" s="23"/>
    </row>
    <row r="22" spans="2:6">
      <c r="B22" s="1" t="s">
        <v>7</v>
      </c>
      <c r="E22" s="2">
        <v>500</v>
      </c>
    </row>
    <row r="23" spans="2:6">
      <c r="B23" s="1" t="s">
        <v>8</v>
      </c>
      <c r="E23" s="5">
        <v>5</v>
      </c>
    </row>
    <row r="24" spans="2:6">
      <c r="B24" s="1" t="s">
        <v>9</v>
      </c>
      <c r="E24" s="6">
        <v>1.0789999999999999E-2</v>
      </c>
    </row>
    <row r="25" spans="2:6">
      <c r="B25" s="1" t="s">
        <v>10</v>
      </c>
      <c r="E25" s="7">
        <f>-FV(taxa_mensal, qtd_anos*12, aporte)</f>
        <v>41888.456999243819</v>
      </c>
    </row>
    <row r="26" spans="2:6">
      <c r="B26" s="1" t="s">
        <v>11</v>
      </c>
      <c r="E26" s="7">
        <f>patrimonio*rendimento_carteira</f>
        <v>251.33074199546292</v>
      </c>
    </row>
    <row r="27" spans="2:6">
      <c r="B27" s="8" t="s">
        <v>12</v>
      </c>
      <c r="E27" s="4">
        <f>-FV(taxa_mensal, qtd_anos*12, sugestao_investimento)*rendimento_carteira</f>
        <v>753.9922259863888</v>
      </c>
    </row>
    <row r="29" spans="2:6" ht="24" customHeight="1">
      <c r="B29" s="22" t="s">
        <v>13</v>
      </c>
      <c r="C29" s="23"/>
      <c r="D29" s="23"/>
      <c r="E29" s="23"/>
    </row>
    <row r="30" spans="2:6" ht="28.5">
      <c r="B30" s="9" t="s">
        <v>14</v>
      </c>
      <c r="C30" s="9" t="s">
        <v>15</v>
      </c>
      <c r="D30" s="9" t="s">
        <v>16</v>
      </c>
      <c r="E30" s="9" t="s">
        <v>17</v>
      </c>
      <c r="F30" s="9" t="s">
        <v>18</v>
      </c>
    </row>
    <row r="31" spans="2:6">
      <c r="B31" s="10" t="s">
        <v>19</v>
      </c>
      <c r="C31" s="11">
        <f>-FV(taxa_mensal, 2*12, aporte)</f>
        <v>13613.813648822608</v>
      </c>
      <c r="D31" s="11">
        <f>C31*rendimento_carteira</f>
        <v>81.682881892935654</v>
      </c>
      <c r="E31" s="11">
        <f>-FV(taxa_mensal, 2*12, sugestao_investimento)</f>
        <v>40841.440946467825</v>
      </c>
      <c r="F31" s="11">
        <f>E31*rendimento_carteira</f>
        <v>245.04864567880696</v>
      </c>
    </row>
    <row r="32" spans="2:6">
      <c r="B32" s="10" t="s">
        <v>20</v>
      </c>
      <c r="C32" s="11">
        <f>-FV(taxa_mensal, 5*12, aporte)</f>
        <v>41888.456999243819</v>
      </c>
      <c r="D32" s="11">
        <f>C32*rendimento_carteira</f>
        <v>251.33074199546292</v>
      </c>
      <c r="E32" s="11">
        <f>-FV(taxa_mensal, 5*12, sugestao_investimento)</f>
        <v>125665.37099773147</v>
      </c>
      <c r="F32" s="11">
        <f>E32*rendimento_carteira</f>
        <v>753.9922259863888</v>
      </c>
    </row>
    <row r="33" spans="2:6">
      <c r="B33" s="10" t="s">
        <v>21</v>
      </c>
      <c r="C33" s="11">
        <f>-FV(taxa_mensal, 10*12, aporte)</f>
        <v>121642.1062650861</v>
      </c>
      <c r="D33" s="11">
        <f>C33*rendimento_carteira</f>
        <v>729.85263759051657</v>
      </c>
      <c r="E33" s="11">
        <f>-FV(taxa_mensal, 10*12, sugestao_investimento)</f>
        <v>364926.3187952583</v>
      </c>
      <c r="F33" s="11">
        <f>E33*rendimento_carteira</f>
        <v>2189.55791277155</v>
      </c>
    </row>
    <row r="34" spans="2:6">
      <c r="B34" s="10" t="s">
        <v>22</v>
      </c>
      <c r="C34" s="11">
        <f>-FV(taxa_mensal, 20*12, aporte)</f>
        <v>562599.20004854025</v>
      </c>
      <c r="D34" s="11">
        <f>C34*rendimento_carteira</f>
        <v>3375.5952002912418</v>
      </c>
      <c r="E34" s="11">
        <f>-FV(taxa_mensal, 20*12, sugestao_investimento)</f>
        <v>1687797.600145621</v>
      </c>
      <c r="F34" s="11">
        <f>E34*rendimento_carteira</f>
        <v>10126.785600873725</v>
      </c>
    </row>
    <row r="35" spans="2:6">
      <c r="B35" s="10" t="s">
        <v>23</v>
      </c>
      <c r="C35" s="11">
        <f>-FV(taxa_mensal, 30*12, aporte)</f>
        <v>2161084.8275023573</v>
      </c>
      <c r="D35" s="11">
        <f>C35*rendimento_carteira</f>
        <v>12966.508965014144</v>
      </c>
      <c r="E35" s="11">
        <f>-FV(taxa_mensal, 30*12, sugestao_investimento)</f>
        <v>6483254.4825070715</v>
      </c>
      <c r="F35" s="11">
        <f>E35*rendimento_carteira</f>
        <v>38899.526895042429</v>
      </c>
    </row>
    <row r="38" spans="2:6" ht="24" customHeight="1">
      <c r="B38" s="22" t="s">
        <v>24</v>
      </c>
      <c r="C38" s="23"/>
      <c r="D38" s="23"/>
      <c r="E38" s="23"/>
    </row>
    <row r="39" spans="2:6">
      <c r="B39" s="1" t="s">
        <v>25</v>
      </c>
      <c r="C39" s="12" t="s">
        <v>43</v>
      </c>
    </row>
    <row r="40" spans="2:6">
      <c r="B40" s="1" t="s">
        <v>27</v>
      </c>
      <c r="C40" s="7">
        <v>800</v>
      </c>
    </row>
    <row r="41" spans="2:6">
      <c r="B41" s="13" t="s">
        <v>28</v>
      </c>
      <c r="C41" s="13" t="s">
        <v>29</v>
      </c>
      <c r="D41" s="13" t="s">
        <v>30</v>
      </c>
    </row>
    <row r="42" spans="2:6">
      <c r="B42" s="14" t="s">
        <v>31</v>
      </c>
      <c r="C42" s="15">
        <f>VLOOKUP($C$39&amp;"-"&amp;B42, Chaves!$A:$D, 4, FALSE)</f>
        <v>0.5</v>
      </c>
      <c r="D42" s="11">
        <f t="shared" ref="D42:D47" si="0">$C$40*C42</f>
        <v>400</v>
      </c>
    </row>
    <row r="43" spans="2:6">
      <c r="B43" s="14" t="s">
        <v>32</v>
      </c>
      <c r="C43" s="15">
        <f>VLOOKUP($C$39&amp;"-"&amp;B43, Chaves!$A:$D, 4, FALSE)</f>
        <v>0.1</v>
      </c>
      <c r="D43" s="11">
        <f t="shared" si="0"/>
        <v>80</v>
      </c>
    </row>
    <row r="44" spans="2:6">
      <c r="B44" s="14" t="s">
        <v>33</v>
      </c>
      <c r="C44" s="15">
        <f>VLOOKUP($C$39&amp;"-"&amp;B44, Chaves!$A:$D, 4, FALSE)</f>
        <v>0.05</v>
      </c>
      <c r="D44" s="11">
        <f t="shared" si="0"/>
        <v>40</v>
      </c>
    </row>
    <row r="45" spans="2:6">
      <c r="B45" s="14" t="s">
        <v>34</v>
      </c>
      <c r="C45" s="15">
        <f>VLOOKUP($C$39&amp;"-"&amp;B45, Chaves!$A:$D, 4, FALSE)</f>
        <v>0.05</v>
      </c>
      <c r="D45" s="11">
        <f t="shared" si="0"/>
        <v>40</v>
      </c>
    </row>
    <row r="46" spans="2:6">
      <c r="B46" s="14" t="s">
        <v>35</v>
      </c>
      <c r="C46" s="15">
        <f>VLOOKUP($C$39&amp;"-"&amp;B46, Chaves!$A:$D, 4, FALSE)</f>
        <v>0.2</v>
      </c>
      <c r="D46" s="11">
        <f t="shared" si="0"/>
        <v>160</v>
      </c>
    </row>
    <row r="47" spans="2:6">
      <c r="B47" s="14" t="s">
        <v>36</v>
      </c>
      <c r="C47" s="15">
        <f>VLOOKUP($C$39&amp;"-"&amp;B47, Chaves!$A:$D, 4, FALSE)</f>
        <v>0.1</v>
      </c>
      <c r="D47" s="11">
        <f t="shared" si="0"/>
        <v>80</v>
      </c>
    </row>
    <row r="48" spans="2:6">
      <c r="B48" s="16" t="s">
        <v>37</v>
      </c>
      <c r="C48" s="17">
        <f>SUM(C42:C47)</f>
        <v>1.0000000000000002</v>
      </c>
      <c r="D48" s="18">
        <f>SUM(D42:D47)</f>
        <v>800</v>
      </c>
    </row>
  </sheetData>
  <mergeCells count="6">
    <mergeCell ref="B29:E29"/>
    <mergeCell ref="B38:E38"/>
    <mergeCell ref="B16:E16"/>
    <mergeCell ref="B21:E21"/>
    <mergeCell ref="B13:E13"/>
    <mergeCell ref="B14:E14"/>
  </mergeCells>
  <dataValidations count="1">
    <dataValidation type="list" sqref="C39" xr:uid="{00000000-0002-0000-0000-000000000000}">
      <formula1>"CONSERVADOR,MODERADO,AGRESSIVO"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workbookViewId="0"/>
  </sheetViews>
  <sheetFormatPr defaultRowHeight="15"/>
  <cols>
    <col min="1" max="1" width="30" customWidth="1"/>
    <col min="2" max="2" width="18" customWidth="1"/>
    <col min="3" max="3" width="22" customWidth="1"/>
    <col min="4" max="4" width="15" customWidth="1"/>
  </cols>
  <sheetData>
    <row r="1" spans="1:4" ht="16.5">
      <c r="A1" s="19" t="s">
        <v>38</v>
      </c>
      <c r="B1" s="19" t="s">
        <v>39</v>
      </c>
      <c r="C1" s="19" t="s">
        <v>40</v>
      </c>
      <c r="D1" s="19" t="s">
        <v>41</v>
      </c>
    </row>
    <row r="2" spans="1:4">
      <c r="A2" t="str">
        <f t="shared" ref="A2:A19" si="0">B2&amp;"-"&amp;C2</f>
        <v>CONSERVADOR-PAPEL</v>
      </c>
      <c r="B2" t="s">
        <v>42</v>
      </c>
      <c r="C2" t="s">
        <v>31</v>
      </c>
      <c r="D2" s="20">
        <v>0.3</v>
      </c>
    </row>
    <row r="3" spans="1:4">
      <c r="A3" t="str">
        <f t="shared" si="0"/>
        <v>CONSERVADOR-TIJOLO</v>
      </c>
      <c r="B3" t="s">
        <v>42</v>
      </c>
      <c r="C3" t="s">
        <v>32</v>
      </c>
      <c r="D3" s="20">
        <v>0.5</v>
      </c>
    </row>
    <row r="4" spans="1:4">
      <c r="A4" t="str">
        <f t="shared" si="0"/>
        <v>CONSERVADOR-HIBRIDOS</v>
      </c>
      <c r="B4" t="s">
        <v>42</v>
      </c>
      <c r="C4" t="s">
        <v>33</v>
      </c>
      <c r="D4" s="20">
        <v>0.1</v>
      </c>
    </row>
    <row r="5" spans="1:4">
      <c r="A5" t="str">
        <f t="shared" si="0"/>
        <v>CONSERVADOR-FOFS</v>
      </c>
      <c r="B5" t="s">
        <v>42</v>
      </c>
      <c r="C5" t="s">
        <v>34</v>
      </c>
      <c r="D5" s="20">
        <v>0.1</v>
      </c>
    </row>
    <row r="6" spans="1:4">
      <c r="A6" t="str">
        <f t="shared" si="0"/>
        <v>CONSERVADOR-DESENVOLVIMENTO</v>
      </c>
      <c r="B6" t="s">
        <v>42</v>
      </c>
      <c r="C6" t="s">
        <v>35</v>
      </c>
      <c r="D6" s="20">
        <v>0</v>
      </c>
    </row>
    <row r="7" spans="1:4">
      <c r="A7" t="str">
        <f t="shared" si="0"/>
        <v>CONSERVADOR-HOTELARIAS</v>
      </c>
      <c r="B7" t="s">
        <v>42</v>
      </c>
      <c r="C7" t="s">
        <v>36</v>
      </c>
      <c r="D7" s="20">
        <v>0</v>
      </c>
    </row>
    <row r="8" spans="1:4">
      <c r="A8" t="str">
        <f t="shared" si="0"/>
        <v>MODERADO-PAPEL</v>
      </c>
      <c r="B8" t="s">
        <v>26</v>
      </c>
      <c r="C8" t="s">
        <v>31</v>
      </c>
      <c r="D8" s="20">
        <v>0.32</v>
      </c>
    </row>
    <row r="9" spans="1:4">
      <c r="A9" t="str">
        <f t="shared" si="0"/>
        <v>MODERADO-TIJOLO</v>
      </c>
      <c r="B9" t="s">
        <v>26</v>
      </c>
      <c r="C9" t="s">
        <v>32</v>
      </c>
      <c r="D9" s="20">
        <v>0.35</v>
      </c>
    </row>
    <row r="10" spans="1:4">
      <c r="A10" t="str">
        <f t="shared" si="0"/>
        <v>MODERADO-HIBRIDOS</v>
      </c>
      <c r="B10" t="s">
        <v>26</v>
      </c>
      <c r="C10" t="s">
        <v>33</v>
      </c>
      <c r="D10" s="20">
        <v>0.08</v>
      </c>
    </row>
    <row r="11" spans="1:4">
      <c r="A11" t="str">
        <f t="shared" si="0"/>
        <v>MODERADO-FOFS</v>
      </c>
      <c r="B11" t="s">
        <v>26</v>
      </c>
      <c r="C11" t="s">
        <v>34</v>
      </c>
      <c r="D11" s="20">
        <v>0.05</v>
      </c>
    </row>
    <row r="12" spans="1:4">
      <c r="A12" t="str">
        <f t="shared" si="0"/>
        <v>MODERADO-DESENVOLVIMENTO</v>
      </c>
      <c r="B12" t="s">
        <v>26</v>
      </c>
      <c r="C12" t="s">
        <v>35</v>
      </c>
      <c r="D12" s="20">
        <v>0.1</v>
      </c>
    </row>
    <row r="13" spans="1:4">
      <c r="A13" t="str">
        <f t="shared" si="0"/>
        <v>MODERADO-HOTELARIAS</v>
      </c>
      <c r="B13" t="s">
        <v>26</v>
      </c>
      <c r="C13" t="s">
        <v>36</v>
      </c>
      <c r="D13" s="20">
        <v>0.1</v>
      </c>
    </row>
    <row r="14" spans="1:4">
      <c r="A14" t="str">
        <f t="shared" si="0"/>
        <v>AGRESSIVO-PAPEL</v>
      </c>
      <c r="B14" t="s">
        <v>43</v>
      </c>
      <c r="C14" t="s">
        <v>31</v>
      </c>
      <c r="D14" s="20">
        <v>0.5</v>
      </c>
    </row>
    <row r="15" spans="1:4">
      <c r="A15" t="str">
        <f t="shared" si="0"/>
        <v>AGRESSIVO-TIJOLO</v>
      </c>
      <c r="B15" t="s">
        <v>43</v>
      </c>
      <c r="C15" t="s">
        <v>32</v>
      </c>
      <c r="D15" s="20">
        <v>0.1</v>
      </c>
    </row>
    <row r="16" spans="1:4">
      <c r="A16" t="str">
        <f t="shared" si="0"/>
        <v>AGRESSIVO-HIBRIDOS</v>
      </c>
      <c r="B16" t="s">
        <v>43</v>
      </c>
      <c r="C16" t="s">
        <v>33</v>
      </c>
      <c r="D16" s="20">
        <v>0.05</v>
      </c>
    </row>
    <row r="17" spans="1:4">
      <c r="A17" t="str">
        <f t="shared" si="0"/>
        <v>AGRESSIVO-FOFS</v>
      </c>
      <c r="B17" t="s">
        <v>43</v>
      </c>
      <c r="C17" t="s">
        <v>34</v>
      </c>
      <c r="D17" s="20">
        <v>0.05</v>
      </c>
    </row>
    <row r="18" spans="1:4">
      <c r="A18" t="str">
        <f t="shared" si="0"/>
        <v>AGRESSIVO-DESENVOLVIMENTO</v>
      </c>
      <c r="B18" t="s">
        <v>43</v>
      </c>
      <c r="C18" t="s">
        <v>35</v>
      </c>
      <c r="D18" s="20">
        <v>0.2</v>
      </c>
    </row>
    <row r="19" spans="1:4">
      <c r="A19" t="str">
        <f t="shared" si="0"/>
        <v>AGRESSIVO-HOTELARIAS</v>
      </c>
      <c r="B19" t="s">
        <v>43</v>
      </c>
      <c r="C19" t="s">
        <v>36</v>
      </c>
      <c r="D19" s="20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Simulador_FII</vt:lpstr>
      <vt:lpstr>Chaves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Andrade</cp:lastModifiedBy>
  <dcterms:created xsi:type="dcterms:W3CDTF">2026-10-18T15:09:08Z</dcterms:created>
  <dcterms:modified xsi:type="dcterms:W3CDTF">2026-10-18T15:39:02Z</dcterms:modified>
</cp:coreProperties>
</file>